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248" documentId="13_ncr:1_{DF59D078-38CC-4ACD-B64D-5914F71920C9}" xr6:coauthVersionLast="47" xr6:coauthVersionMax="47" xr10:uidLastSave="{CF399BB1-66A1-4168-8CD8-D9C040BE2A51}"/>
  <bookViews>
    <workbookView xWindow="-120" yWindow="-120" windowWidth="29040" windowHeight="1584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1" l="1"/>
  <c r="F9" i="11" s="1"/>
  <c r="E10" i="11" s="1"/>
  <c r="H7" i="11"/>
  <c r="E11" i="11" l="1"/>
  <c r="F11" i="11" s="1"/>
  <c r="E12" i="11" s="1"/>
  <c r="F12" i="11" s="1"/>
  <c r="E13" i="11"/>
  <c r="F10" i="11"/>
  <c r="F13" i="11" l="1"/>
  <c r="E21" i="11"/>
  <c r="H24" i="11"/>
  <c r="I5" i="11"/>
  <c r="H64" i="11"/>
  <c r="H63" i="11"/>
  <c r="H62" i="11"/>
  <c r="H45" i="11"/>
  <c r="H44" i="11"/>
  <c r="H43" i="11"/>
  <c r="H23" i="11"/>
  <c r="H14" i="11"/>
  <c r="H8" i="11"/>
  <c r="E15" i="11" l="1"/>
  <c r="E16" i="11"/>
  <c r="F21" i="11"/>
  <c r="H9" i="11"/>
  <c r="I6" i="11"/>
  <c r="F15" i="11" l="1"/>
  <c r="E18" i="11" s="1"/>
  <c r="F16" i="11"/>
  <c r="H42" i="11"/>
  <c r="H10" i="11"/>
  <c r="H25" i="11"/>
  <c r="H13" i="11"/>
  <c r="J5" i="11"/>
  <c r="K5" i="11" s="1"/>
  <c r="L5" i="11" s="1"/>
  <c r="M5" i="11" s="1"/>
  <c r="N5" i="11" s="1"/>
  <c r="O5" i="11" s="1"/>
  <c r="P5" i="11" s="1"/>
  <c r="I4" i="11"/>
  <c r="H15" i="11" l="1"/>
  <c r="E19" i="11"/>
  <c r="E20" i="11" s="1"/>
  <c r="F17" i="11"/>
  <c r="F18" i="11" s="1"/>
  <c r="F19" i="11" s="1"/>
  <c r="F20" i="11" s="1"/>
  <c r="E17" i="11"/>
  <c r="H41" i="11"/>
  <c r="H28" i="11"/>
  <c r="H18" i="11"/>
  <c r="H11" i="11"/>
  <c r="H12" i="11"/>
  <c r="P4" i="11"/>
  <c r="Q5" i="11"/>
  <c r="R5" i="11" s="1"/>
  <c r="S5" i="11" s="1"/>
  <c r="T5" i="11" s="1"/>
  <c r="U5" i="11" s="1"/>
  <c r="V5" i="11" s="1"/>
  <c r="W5" i="11" s="1"/>
  <c r="J6" i="11"/>
  <c r="H20" i="11" l="1"/>
  <c r="W4" i="11"/>
  <c r="X5" i="11"/>
  <c r="Y5" i="11" s="1"/>
  <c r="Z5" i="11" s="1"/>
  <c r="AA5" i="11" s="1"/>
  <c r="AB5" i="11" s="1"/>
  <c r="AC5" i="11" s="1"/>
  <c r="AD5" i="11" s="1"/>
  <c r="K6" i="11"/>
  <c r="H21" i="11" l="1"/>
  <c r="H22" i="1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H19" i="11"/>
</calcChain>
</file>

<file path=xl/sharedStrings.xml><?xml version="1.0" encoding="utf-8"?>
<sst xmlns="http://schemas.openxmlformats.org/spreadsheetml/2006/main" count="151" uniqueCount="114">
  <si>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</si>
  <si>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IDEAS FOR GOOD - ADAN TRANSPORT</t>
  </si>
  <si>
    <t>Enter Company Name in cell B2.</t>
  </si>
  <si>
    <t>PROJECT TITLE: IDEAS_Trans</t>
  </si>
  <si>
    <t>Enter the name of the Project Lead in cell B3. Enter the Project Start date in cell E3. Project Start: label is in cell C3.</t>
  </si>
  <si>
    <t>INDSUTRY SUPPORTER: BRIAN JOHANSON</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</si>
  <si>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</si>
  <si>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</si>
  <si>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PROJECT MENTOR: MICHELLE DEMERS</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</si>
  <si>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</si>
  <si>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</si>
  <si>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</si>
  <si>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</si>
  <si>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</si>
  <si>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</si>
  <si>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</si>
  <si>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</si>
  <si>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</si>
  <si>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current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</si>
  <si>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</si>
  <si>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CONCEPTUAL DESIGN REVIEW</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</si>
  <si>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</si>
  <si>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PROJECT AQUANTANCE AND KICKOFF BREAKFAST</t>
  </si>
  <si>
    <t>IDEAS_Trans</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</si>
  <si>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</si>
  <si>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SAFTEY GUIDLINE RESEARCH</t>
  </si>
  <si>
    <t>STATEMENT OF WORK PREPERATION</t>
  </si>
  <si>
    <t>CDR PREPERATION</t>
  </si>
  <si>
    <t>CONCEPRUAL DESIGN REVIEW</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</si>
  <si>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</si>
  <si>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PROJECT DESIGN REVIEW</t>
  </si>
  <si>
    <t>Expo Requirements</t>
  </si>
  <si>
    <t>PDR Preperation</t>
  </si>
  <si>
    <t>PDR Presentation</t>
  </si>
  <si>
    <t>Final Report and Updated Plan</t>
  </si>
  <si>
    <t>Expo Poster</t>
  </si>
  <si>
    <t>Sample phase title block</t>
  </si>
  <si>
    <t>SD1 Final Package</t>
  </si>
  <si>
    <t>Expo</t>
  </si>
  <si>
    <t>PREPARATION BEFORE ASSEMBLY</t>
  </si>
  <si>
    <t>Confirmed and received all orders.</t>
  </si>
  <si>
    <t>Team</t>
  </si>
  <si>
    <t>Kickoff Assignment</t>
  </si>
  <si>
    <t>Reducing current expenses to the provided budget with the metals.</t>
  </si>
  <si>
    <t>Cale, Alex, Jacob, Ash</t>
  </si>
  <si>
    <t>Nunchunk and Grabbing Holister Design</t>
  </si>
  <si>
    <t>Jacob</t>
  </si>
  <si>
    <t>Emergency Braking Design</t>
  </si>
  <si>
    <t xml:space="preserve">Jacob </t>
  </si>
  <si>
    <t>Update and finalized CAD models.</t>
  </si>
  <si>
    <t>Obtain gold badge for Senior Design Lab.</t>
  </si>
  <si>
    <t>Electrical Box Design</t>
  </si>
  <si>
    <t>Ash</t>
  </si>
  <si>
    <t xml:space="preserve">CAD FEA on Frame </t>
  </si>
  <si>
    <t>Acquire Hold Down</t>
  </si>
  <si>
    <t>Solder electrical components</t>
  </si>
  <si>
    <t>Christina</t>
  </si>
  <si>
    <t>Create electrical schematic for the overall electrical box.</t>
  </si>
  <si>
    <t>Johnny</t>
  </si>
  <si>
    <t>Ensured connections and RGB LEDs is functional.</t>
  </si>
  <si>
    <t xml:space="preserve">Christina, Johnny </t>
  </si>
  <si>
    <t>Finalized needed components from McMaster Carr &amp; orders.</t>
  </si>
  <si>
    <t>Ordering emergency braking method and nunchuck holister/stand.</t>
  </si>
  <si>
    <t>Cale, Jacob, Alex</t>
  </si>
  <si>
    <t>Purchasing electrical box</t>
  </si>
  <si>
    <t>Cale, Ash</t>
  </si>
  <si>
    <t>Confirmed that orientation sensor values and other components interfaced with MCU.</t>
  </si>
  <si>
    <t>Check connection with motor drivers and start programming motors.</t>
  </si>
  <si>
    <t>ASSEMBLY AND FINAL PHASE</t>
  </si>
  <si>
    <t>Assemble lower platform and battery slider.</t>
  </si>
  <si>
    <t>Cale, Alex</t>
  </si>
  <si>
    <t>Assemble vertical support and upper platform.</t>
  </si>
  <si>
    <t>Cale, Ash, Alex</t>
  </si>
  <si>
    <t>Mounting hardware hold down.</t>
  </si>
  <si>
    <t>This is an empty row</t>
  </si>
  <si>
    <t>Assemble electrical box.</t>
  </si>
  <si>
    <t xml:space="preserve">Install polycarbonate protection/magnetic door. </t>
  </si>
  <si>
    <t>Cale</t>
  </si>
  <si>
    <t>Cut rubber/wood for L-track. Install L-track and wheelchair straps.</t>
  </si>
  <si>
    <t xml:space="preserve">Drill &amp; tap aluminium frame components and assemble. </t>
  </si>
  <si>
    <t>Install battery and route cables.</t>
  </si>
  <si>
    <t>Cale, Jacob, Christina, Johnny</t>
  </si>
  <si>
    <t>Install electrical box.</t>
  </si>
  <si>
    <t>Ash, Christina, Johnny</t>
  </si>
  <si>
    <t>Attach cables. Ensured connection between PCB, microcontroller and drivers.</t>
  </si>
  <si>
    <t>Test electrical box</t>
  </si>
  <si>
    <t>Testing and adjustment with the code to the cart.</t>
  </si>
  <si>
    <t>Revising flowchart algorithm for neutral stop with joystick.</t>
  </si>
  <si>
    <t>Project Status Review (Week 4-5)</t>
  </si>
  <si>
    <t>Changes and improvement to the platform.</t>
  </si>
  <si>
    <t>Finalized operational code for platform. Perform intensive testing.</t>
  </si>
  <si>
    <t>Prototype Review Presentation (Week 12-13)</t>
  </si>
  <si>
    <t>Finalized building a operational motorized platform before EXPO.</t>
  </si>
  <si>
    <t>EXPO Prepartion (Poster and final adjustment)</t>
  </si>
  <si>
    <t>Senior Design 2 Expo</t>
  </si>
  <si>
    <t>This row marks the end of the Project Schedule. DO NOT enter anything in this row. 
Insert new rows ABOVE this one to continue building out your Project Schedule.</t>
  </si>
  <si>
    <t xml:space="preserve">Final adjustment and documentation before handing to supporters. </t>
  </si>
  <si>
    <t>date</t>
  </si>
  <si>
    <t>Insert new rows ABOVE this one</t>
  </si>
  <si>
    <t>SIMPLE GANTT CHART by Vertex42.com</t>
  </si>
  <si>
    <t>https://www.vertex42.com/ExcelTemplates/simple-gantt-chart.html</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</si>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</sst>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d/yy;@"/>
    <numFmt numFmtId="165" formatCode="ddd\,\ m/d/yyyy"/>
    <numFmt numFmtId="166" formatCode="mmm\ d\,\ yyyy"/>
    <numFmt numFmtId="167" formatCode="d"/>
    <numFmt numFmtId="168" formatCode="m/d/yy"/>
  </numFmts>
  <fonts count="27">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sz val="11"/>
      <color theme="1"/>
      <name val="Calibri"/>
    </font>
    <font>
      <b/>
      <sz val="11"/>
      <color theme="1"/>
      <name val="Calibri"/>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DBE5F1"/>
        <bgColor rgb="FFDBE5F1"/>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right/>
      <top style="medium">
        <color rgb="FFD8D8D8"/>
      </top>
      <bottom style="medium">
        <color rgb="FFD8D8D8"/>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9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7" borderId="1" xfId="0" applyFont="1" applyFill="1" applyBorder="1" applyAlignment="1">
      <alignment horizontal="left" vertical="center" indent="1"/>
    </xf>
    <xf numFmtId="0" fontId="7" fillId="7" borderId="1" xfId="0" applyFont="1" applyFill="1" applyBorder="1" applyAlignment="1">
      <alignment horizontal="center" vertical="center" wrapText="1"/>
    </xf>
    <xf numFmtId="167" fontId="11" fillId="3" borderId="0" xfId="0" applyNumberFormat="1" applyFont="1" applyFill="1" applyAlignment="1">
      <alignment horizontal="center" vertical="center"/>
    </xf>
    <xf numFmtId="167" fontId="11" fillId="3" borderId="6" xfId="0" applyNumberFormat="1" applyFont="1" applyFill="1" applyBorder="1" applyAlignment="1">
      <alignment horizontal="center" vertical="center"/>
    </xf>
    <xf numFmtId="167" fontId="11" fillId="3" borderId="7" xfId="0" applyNumberFormat="1" applyFont="1" applyFill="1" applyBorder="1" applyAlignment="1">
      <alignment horizontal="center" vertical="center"/>
    </xf>
    <xf numFmtId="0" fontId="12" fillId="6"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4" borderId="2" xfId="0" applyFont="1" applyFill="1" applyBorder="1" applyAlignment="1">
      <alignment horizontal="left" vertical="center" indent="1"/>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0" borderId="2" xfId="10">
      <alignment horizontal="center" vertical="center"/>
    </xf>
    <xf numFmtId="0" fontId="9" fillId="4" borderId="2" xfId="11" applyFill="1">
      <alignment horizontal="center" vertical="center"/>
    </xf>
    <xf numFmtId="0" fontId="9" fillId="5" borderId="2" xfId="11" applyFill="1">
      <alignment horizontal="center" vertical="center"/>
    </xf>
    <xf numFmtId="0" fontId="9" fillId="0" borderId="2" xfId="11">
      <alignment horizontal="center" vertical="center"/>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0" fontId="10" fillId="0" borderId="0" xfId="0" applyFont="1" applyAlignment="1">
      <alignment vertical="top"/>
    </xf>
    <xf numFmtId="0" fontId="25" fillId="8" borderId="11" xfId="0" applyFont="1" applyFill="1" applyBorder="1" applyAlignment="1">
      <alignment horizontal="left" vertical="center"/>
    </xf>
    <xf numFmtId="0" fontId="25" fillId="8" borderId="11" xfId="0" applyFont="1" applyFill="1" applyBorder="1" applyAlignment="1">
      <alignment horizontal="center" vertical="center"/>
    </xf>
    <xf numFmtId="9" fontId="25" fillId="8" borderId="11" xfId="0" applyNumberFormat="1" applyFont="1" applyFill="1" applyBorder="1" applyAlignment="1">
      <alignment horizontal="center" vertical="center"/>
    </xf>
    <xf numFmtId="168" fontId="25" fillId="8" borderId="11" xfId="0" applyNumberFormat="1" applyFont="1" applyFill="1" applyBorder="1" applyAlignment="1">
      <alignment horizontal="center" vertical="center"/>
    </xf>
    <xf numFmtId="0" fontId="25" fillId="9" borderId="11" xfId="0" applyFont="1" applyFill="1" applyBorder="1" applyAlignment="1">
      <alignment horizontal="left" vertical="center"/>
    </xf>
    <xf numFmtId="0" fontId="25" fillId="9" borderId="11" xfId="0" applyFont="1" applyFill="1" applyBorder="1" applyAlignment="1">
      <alignment horizontal="center" vertical="center"/>
    </xf>
    <xf numFmtId="9" fontId="25" fillId="9" borderId="11" xfId="0" applyNumberFormat="1" applyFont="1" applyFill="1" applyBorder="1" applyAlignment="1">
      <alignment horizontal="center" vertical="center"/>
    </xf>
    <xf numFmtId="168" fontId="25" fillId="9" borderId="11" xfId="0" applyNumberFormat="1" applyFont="1" applyFill="1" applyBorder="1" applyAlignment="1">
      <alignment horizontal="center" vertical="center"/>
    </xf>
    <xf numFmtId="0" fontId="26" fillId="10" borderId="11" xfId="0" applyFont="1" applyFill="1" applyBorder="1" applyAlignment="1">
      <alignment horizontal="left" vertical="center"/>
    </xf>
    <xf numFmtId="0" fontId="25" fillId="10" borderId="11" xfId="0" applyFont="1" applyFill="1" applyBorder="1" applyAlignment="1">
      <alignment horizontal="center" vertical="center"/>
    </xf>
    <xf numFmtId="9" fontId="25" fillId="10" borderId="11" xfId="0" applyNumberFormat="1" applyFont="1" applyFill="1" applyBorder="1" applyAlignment="1">
      <alignment horizontal="center" vertical="center"/>
    </xf>
    <xf numFmtId="168" fontId="25" fillId="10" borderId="11" xfId="0" applyNumberFormat="1" applyFont="1" applyFill="1" applyBorder="1" applyAlignment="1">
      <alignment horizontal="center" vertical="center"/>
    </xf>
    <xf numFmtId="0" fontId="25" fillId="11" borderId="11" xfId="0" applyFont="1" applyFill="1" applyBorder="1" applyAlignment="1">
      <alignment horizontal="left" vertical="center"/>
    </xf>
    <xf numFmtId="0" fontId="25" fillId="11" borderId="11" xfId="0" applyFont="1" applyFill="1" applyBorder="1" applyAlignment="1">
      <alignment horizontal="center" vertical="center"/>
    </xf>
    <xf numFmtId="9" fontId="25" fillId="11" borderId="11" xfId="0" applyNumberFormat="1" applyFont="1" applyFill="1" applyBorder="1" applyAlignment="1">
      <alignment horizontal="center" vertical="center"/>
    </xf>
    <xf numFmtId="168" fontId="25" fillId="11" borderId="11" xfId="0" applyNumberFormat="1" applyFont="1" applyFill="1" applyBorder="1" applyAlignment="1">
      <alignment horizontal="center" vertical="center"/>
    </xf>
    <xf numFmtId="0" fontId="26" fillId="12" borderId="11" xfId="0" applyFont="1" applyFill="1" applyBorder="1" applyAlignment="1">
      <alignment horizontal="left" vertical="center"/>
    </xf>
    <xf numFmtId="0" fontId="25" fillId="12" borderId="11" xfId="0" applyFont="1" applyFill="1" applyBorder="1" applyAlignment="1">
      <alignment horizontal="center" vertical="center"/>
    </xf>
    <xf numFmtId="9" fontId="25" fillId="12" borderId="11" xfId="0" applyNumberFormat="1" applyFont="1" applyFill="1" applyBorder="1" applyAlignment="1">
      <alignment horizontal="center" vertical="center"/>
    </xf>
    <xf numFmtId="168" fontId="25" fillId="12" borderId="11" xfId="0" applyNumberFormat="1" applyFont="1" applyFill="1" applyBorder="1" applyAlignment="1">
      <alignment horizontal="center" vertical="center"/>
    </xf>
    <xf numFmtId="0" fontId="25" fillId="13" borderId="11" xfId="0" applyFont="1" applyFill="1" applyBorder="1" applyAlignment="1">
      <alignment horizontal="left" vertical="center"/>
    </xf>
    <xf numFmtId="0" fontId="25" fillId="13" borderId="11" xfId="0" applyFont="1" applyFill="1" applyBorder="1" applyAlignment="1">
      <alignment horizontal="center" vertical="center"/>
    </xf>
    <xf numFmtId="9" fontId="25" fillId="13" borderId="11" xfId="0" applyNumberFormat="1" applyFont="1" applyFill="1" applyBorder="1" applyAlignment="1">
      <alignment horizontal="center" vertical="center"/>
    </xf>
    <xf numFmtId="168" fontId="25" fillId="13" borderId="11" xfId="0" applyNumberFormat="1" applyFont="1" applyFill="1" applyBorder="1" applyAlignment="1">
      <alignment horizontal="center" vertical="center"/>
    </xf>
    <xf numFmtId="0" fontId="25" fillId="11" borderId="11" xfId="0" applyFont="1" applyFill="1" applyBorder="1" applyAlignment="1">
      <alignment horizontal="left" vertical="center" wrapText="1"/>
    </xf>
    <xf numFmtId="0" fontId="25" fillId="13" borderId="11" xfId="0" applyFont="1" applyFill="1" applyBorder="1" applyAlignment="1">
      <alignment horizontal="left" vertical="center" wrapText="1"/>
    </xf>
    <xf numFmtId="0" fontId="25" fillId="13" borderId="11" xfId="0" applyFont="1" applyFill="1" applyBorder="1" applyAlignment="1">
      <alignment horizontal="center" vertical="center" wrapText="1"/>
    </xf>
    <xf numFmtId="166" fontId="0" fillId="3" borderId="4" xfId="0" applyNumberFormat="1" applyFill="1" applyBorder="1" applyAlignment="1">
      <alignment horizontal="left" vertical="center" wrapText="1" indent="1"/>
    </xf>
    <xf numFmtId="166" fontId="0" fillId="3" borderId="1" xfId="0" applyNumberFormat="1" applyFill="1" applyBorder="1" applyAlignment="1">
      <alignment horizontal="left" vertical="center" wrapText="1" indent="1"/>
    </xf>
    <xf numFmtId="166" fontId="0" fillId="3" borderId="5" xfId="0" applyNumberFormat="1" applyFill="1" applyBorder="1" applyAlignment="1">
      <alignment horizontal="left" vertical="center" wrapText="1" indent="1"/>
    </xf>
    <xf numFmtId="0" fontId="9" fillId="0" borderId="0" xfId="8" applyAlignment="1">
      <alignment horizontal="right" indent="1"/>
    </xf>
    <xf numFmtId="0" fontId="9" fillId="0" borderId="7" xfId="8" applyBorder="1" applyAlignment="1">
      <alignment horizontal="right" indent="1"/>
    </xf>
    <xf numFmtId="165" fontId="9" fillId="0" borderId="3" xfId="9"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67"/>
  <sheetViews>
    <sheetView showGridLines="0" tabSelected="1" showRuler="0" zoomScale="80" zoomScaleNormal="80" zoomScalePageLayoutView="70" workbookViewId="0">
      <pane ySplit="6" topLeftCell="A43" activePane="bottomLeft" state="frozen"/>
      <selection pane="bottomLeft" activeCell="E49" sqref="E49"/>
    </sheetView>
  </sheetViews>
  <sheetFormatPr defaultRowHeight="30" customHeight="1"/>
  <cols>
    <col min="1" max="1" width="2.7109375" style="46" customWidth="1"/>
    <col min="2" max="2" width="69.5703125" customWidth="1"/>
    <col min="3" max="3" width="2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c r="A1" s="47" t="s">
        <v>0</v>
      </c>
      <c r="B1" s="50" t="s">
        <v>1</v>
      </c>
      <c r="C1" s="1"/>
      <c r="D1" s="2"/>
      <c r="E1" s="4"/>
      <c r="F1" s="35"/>
      <c r="H1" s="2"/>
      <c r="I1" s="59"/>
    </row>
    <row r="2" spans="1:64" ht="30" customHeight="1">
      <c r="A2" s="46" t="s">
        <v>2</v>
      </c>
      <c r="B2" s="51" t="s">
        <v>3</v>
      </c>
      <c r="I2" s="60"/>
    </row>
    <row r="3" spans="1:64" ht="21" customHeight="1">
      <c r="A3" s="46" t="s">
        <v>4</v>
      </c>
      <c r="B3" s="52" t="s">
        <v>5</v>
      </c>
      <c r="C3" s="93" t="s">
        <v>6</v>
      </c>
      <c r="D3" s="94"/>
      <c r="E3" s="95">
        <v>44935</v>
      </c>
      <c r="F3" s="95"/>
    </row>
    <row r="4" spans="1:64" ht="30" customHeight="1">
      <c r="A4" s="47" t="s">
        <v>7</v>
      </c>
      <c r="B4" s="62" t="s">
        <v>8</v>
      </c>
      <c r="C4" s="93" t="s">
        <v>9</v>
      </c>
      <c r="D4" s="94"/>
      <c r="E4" s="7">
        <v>44</v>
      </c>
      <c r="I4" s="90">
        <f>I5</f>
        <v>45236</v>
      </c>
      <c r="J4" s="91"/>
      <c r="K4" s="91"/>
      <c r="L4" s="91"/>
      <c r="M4" s="91"/>
      <c r="N4" s="91"/>
      <c r="O4" s="92"/>
      <c r="P4" s="90">
        <f>P5</f>
        <v>45243</v>
      </c>
      <c r="Q4" s="91"/>
      <c r="R4" s="91"/>
      <c r="S4" s="91"/>
      <c r="T4" s="91"/>
      <c r="U4" s="91"/>
      <c r="V4" s="92"/>
      <c r="W4" s="90">
        <f>W5</f>
        <v>45250</v>
      </c>
      <c r="X4" s="91"/>
      <c r="Y4" s="91"/>
      <c r="Z4" s="91"/>
      <c r="AA4" s="91"/>
      <c r="AB4" s="91"/>
      <c r="AC4" s="92"/>
      <c r="AD4" s="90">
        <f>AD5</f>
        <v>45257</v>
      </c>
      <c r="AE4" s="91"/>
      <c r="AF4" s="91"/>
      <c r="AG4" s="91"/>
      <c r="AH4" s="91"/>
      <c r="AI4" s="91"/>
      <c r="AJ4" s="92"/>
      <c r="AK4" s="90">
        <f>AK5</f>
        <v>45264</v>
      </c>
      <c r="AL4" s="91"/>
      <c r="AM4" s="91"/>
      <c r="AN4" s="91"/>
      <c r="AO4" s="91"/>
      <c r="AP4" s="91"/>
      <c r="AQ4" s="92"/>
      <c r="AR4" s="90">
        <f>AR5</f>
        <v>45271</v>
      </c>
      <c r="AS4" s="91"/>
      <c r="AT4" s="91"/>
      <c r="AU4" s="91"/>
      <c r="AV4" s="91"/>
      <c r="AW4" s="91"/>
      <c r="AX4" s="92"/>
      <c r="AY4" s="90">
        <f>AY5</f>
        <v>45278</v>
      </c>
      <c r="AZ4" s="91"/>
      <c r="BA4" s="91"/>
      <c r="BB4" s="91"/>
      <c r="BC4" s="91"/>
      <c r="BD4" s="91"/>
      <c r="BE4" s="92"/>
      <c r="BF4" s="90">
        <f>BF5</f>
        <v>45285</v>
      </c>
      <c r="BG4" s="91"/>
      <c r="BH4" s="91"/>
      <c r="BI4" s="91"/>
      <c r="BJ4" s="91"/>
      <c r="BK4" s="91"/>
      <c r="BL4" s="92"/>
    </row>
    <row r="5" spans="1:64" ht="15" customHeight="1">
      <c r="A5" s="47" t="s">
        <v>10</v>
      </c>
      <c r="B5" s="58"/>
      <c r="C5" s="58"/>
      <c r="D5" s="58"/>
      <c r="E5" s="58"/>
      <c r="F5" s="58"/>
      <c r="G5" s="58"/>
      <c r="I5" s="11">
        <f>Project_Start-WEEKDAY(Project_Start,1)+2+7*(Display_Week-1)</f>
        <v>45236</v>
      </c>
      <c r="J5" s="10">
        <f>I5+1</f>
        <v>45237</v>
      </c>
      <c r="K5" s="10">
        <f t="shared" ref="K5:AX5" si="0">J5+1</f>
        <v>45238</v>
      </c>
      <c r="L5" s="10">
        <f t="shared" si="0"/>
        <v>45239</v>
      </c>
      <c r="M5" s="10">
        <f t="shared" si="0"/>
        <v>45240</v>
      </c>
      <c r="N5" s="10">
        <f t="shared" si="0"/>
        <v>45241</v>
      </c>
      <c r="O5" s="12">
        <f t="shared" si="0"/>
        <v>45242</v>
      </c>
      <c r="P5" s="11">
        <f>O5+1</f>
        <v>45243</v>
      </c>
      <c r="Q5" s="10">
        <f>P5+1</f>
        <v>45244</v>
      </c>
      <c r="R5" s="10">
        <f t="shared" si="0"/>
        <v>45245</v>
      </c>
      <c r="S5" s="10">
        <f t="shared" si="0"/>
        <v>45246</v>
      </c>
      <c r="T5" s="10">
        <f t="shared" si="0"/>
        <v>45247</v>
      </c>
      <c r="U5" s="10">
        <f t="shared" si="0"/>
        <v>45248</v>
      </c>
      <c r="V5" s="12">
        <f t="shared" si="0"/>
        <v>45249</v>
      </c>
      <c r="W5" s="11">
        <f>V5+1</f>
        <v>45250</v>
      </c>
      <c r="X5" s="10">
        <f>W5+1</f>
        <v>45251</v>
      </c>
      <c r="Y5" s="10">
        <f t="shared" si="0"/>
        <v>45252</v>
      </c>
      <c r="Z5" s="10">
        <f t="shared" si="0"/>
        <v>45253</v>
      </c>
      <c r="AA5" s="10">
        <f t="shared" si="0"/>
        <v>45254</v>
      </c>
      <c r="AB5" s="10">
        <f t="shared" si="0"/>
        <v>45255</v>
      </c>
      <c r="AC5" s="12">
        <f t="shared" si="0"/>
        <v>45256</v>
      </c>
      <c r="AD5" s="11">
        <f>AC5+1</f>
        <v>45257</v>
      </c>
      <c r="AE5" s="10">
        <f>AD5+1</f>
        <v>45258</v>
      </c>
      <c r="AF5" s="10">
        <f t="shared" si="0"/>
        <v>45259</v>
      </c>
      <c r="AG5" s="10">
        <f t="shared" si="0"/>
        <v>45260</v>
      </c>
      <c r="AH5" s="10">
        <f t="shared" si="0"/>
        <v>45261</v>
      </c>
      <c r="AI5" s="10">
        <f t="shared" si="0"/>
        <v>45262</v>
      </c>
      <c r="AJ5" s="12">
        <f t="shared" si="0"/>
        <v>45263</v>
      </c>
      <c r="AK5" s="11">
        <f>AJ5+1</f>
        <v>45264</v>
      </c>
      <c r="AL5" s="10">
        <f>AK5+1</f>
        <v>45265</v>
      </c>
      <c r="AM5" s="10">
        <f t="shared" si="0"/>
        <v>45266</v>
      </c>
      <c r="AN5" s="10">
        <f t="shared" si="0"/>
        <v>45267</v>
      </c>
      <c r="AO5" s="10">
        <f t="shared" si="0"/>
        <v>45268</v>
      </c>
      <c r="AP5" s="10">
        <f t="shared" si="0"/>
        <v>45269</v>
      </c>
      <c r="AQ5" s="12">
        <f t="shared" si="0"/>
        <v>45270</v>
      </c>
      <c r="AR5" s="11">
        <f>AQ5+1</f>
        <v>45271</v>
      </c>
      <c r="AS5" s="10">
        <f>AR5+1</f>
        <v>45272</v>
      </c>
      <c r="AT5" s="10">
        <f t="shared" si="0"/>
        <v>45273</v>
      </c>
      <c r="AU5" s="10">
        <f t="shared" si="0"/>
        <v>45274</v>
      </c>
      <c r="AV5" s="10">
        <f t="shared" si="0"/>
        <v>45275</v>
      </c>
      <c r="AW5" s="10">
        <f t="shared" si="0"/>
        <v>45276</v>
      </c>
      <c r="AX5" s="12">
        <f t="shared" si="0"/>
        <v>45277</v>
      </c>
      <c r="AY5" s="11">
        <f>AX5+1</f>
        <v>45278</v>
      </c>
      <c r="AZ5" s="10">
        <f>AY5+1</f>
        <v>45279</v>
      </c>
      <c r="BA5" s="10">
        <f t="shared" ref="BA5:BE5" si="1">AZ5+1</f>
        <v>45280</v>
      </c>
      <c r="BB5" s="10">
        <f t="shared" si="1"/>
        <v>45281</v>
      </c>
      <c r="BC5" s="10">
        <f t="shared" si="1"/>
        <v>45282</v>
      </c>
      <c r="BD5" s="10">
        <f t="shared" si="1"/>
        <v>45283</v>
      </c>
      <c r="BE5" s="12">
        <f t="shared" si="1"/>
        <v>45284</v>
      </c>
      <c r="BF5" s="11">
        <f>BE5+1</f>
        <v>45285</v>
      </c>
      <c r="BG5" s="10">
        <f>BF5+1</f>
        <v>45286</v>
      </c>
      <c r="BH5" s="10">
        <f t="shared" ref="BH5:BL5" si="2">BG5+1</f>
        <v>45287</v>
      </c>
      <c r="BI5" s="10">
        <f t="shared" si="2"/>
        <v>45288</v>
      </c>
      <c r="BJ5" s="10">
        <f t="shared" si="2"/>
        <v>45289</v>
      </c>
      <c r="BK5" s="10">
        <f t="shared" si="2"/>
        <v>45290</v>
      </c>
      <c r="BL5" s="12">
        <f t="shared" si="2"/>
        <v>45291</v>
      </c>
    </row>
    <row r="6" spans="1:64" ht="30" customHeight="1" thickBot="1">
      <c r="A6" s="47" t="s">
        <v>11</v>
      </c>
      <c r="B6" s="8" t="s">
        <v>12</v>
      </c>
      <c r="C6" s="9" t="s">
        <v>13</v>
      </c>
      <c r="D6" s="9" t="s">
        <v>14</v>
      </c>
      <c r="E6" s="9" t="s">
        <v>15</v>
      </c>
      <c r="F6" s="9" t="s">
        <v>16</v>
      </c>
      <c r="G6" s="9"/>
      <c r="H6" s="9" t="s">
        <v>17</v>
      </c>
      <c r="I6" s="13" t="str">
        <f t="shared" ref="I6" si="3">LEFT(TEXT(I5,"ddd"),1)</f>
        <v>M</v>
      </c>
      <c r="J6" s="13" t="str">
        <f t="shared" ref="J6:AR6" si="4">LEFT(TEXT(J5,"ddd"),1)</f>
        <v>T</v>
      </c>
      <c r="K6" s="13" t="str">
        <f t="shared" si="4"/>
        <v>W</v>
      </c>
      <c r="L6" s="13" t="str">
        <f t="shared" si="4"/>
        <v>T</v>
      </c>
      <c r="M6" s="13" t="str">
        <f t="shared" si="4"/>
        <v>F</v>
      </c>
      <c r="N6" s="13" t="str">
        <f t="shared" si="4"/>
        <v>S</v>
      </c>
      <c r="O6" s="13" t="str">
        <f t="shared" si="4"/>
        <v>S</v>
      </c>
      <c r="P6" s="13" t="str">
        <f t="shared" si="4"/>
        <v>M</v>
      </c>
      <c r="Q6" s="13" t="str">
        <f t="shared" si="4"/>
        <v>T</v>
      </c>
      <c r="R6" s="13" t="str">
        <f t="shared" si="4"/>
        <v>W</v>
      </c>
      <c r="S6" s="13" t="str">
        <f t="shared" si="4"/>
        <v>T</v>
      </c>
      <c r="T6" s="13" t="str">
        <f t="shared" si="4"/>
        <v>F</v>
      </c>
      <c r="U6" s="13" t="str">
        <f t="shared" si="4"/>
        <v>S</v>
      </c>
      <c r="V6" s="13" t="str">
        <f t="shared" si="4"/>
        <v>S</v>
      </c>
      <c r="W6" s="13" t="str">
        <f t="shared" si="4"/>
        <v>M</v>
      </c>
      <c r="X6" s="13" t="str">
        <f t="shared" si="4"/>
        <v>T</v>
      </c>
      <c r="Y6" s="13" t="str">
        <f t="shared" si="4"/>
        <v>W</v>
      </c>
      <c r="Z6" s="13" t="str">
        <f t="shared" si="4"/>
        <v>T</v>
      </c>
      <c r="AA6" s="13" t="str">
        <f t="shared" si="4"/>
        <v>F</v>
      </c>
      <c r="AB6" s="13" t="str">
        <f t="shared" si="4"/>
        <v>S</v>
      </c>
      <c r="AC6" s="13" t="str">
        <f t="shared" si="4"/>
        <v>S</v>
      </c>
      <c r="AD6" s="13" t="str">
        <f t="shared" si="4"/>
        <v>M</v>
      </c>
      <c r="AE6" s="13" t="str">
        <f t="shared" si="4"/>
        <v>T</v>
      </c>
      <c r="AF6" s="13" t="str">
        <f t="shared" si="4"/>
        <v>W</v>
      </c>
      <c r="AG6" s="13" t="str">
        <f t="shared" si="4"/>
        <v>T</v>
      </c>
      <c r="AH6" s="13" t="str">
        <f t="shared" si="4"/>
        <v>F</v>
      </c>
      <c r="AI6" s="13" t="str">
        <f t="shared" si="4"/>
        <v>S</v>
      </c>
      <c r="AJ6" s="13" t="str">
        <f t="shared" si="4"/>
        <v>S</v>
      </c>
      <c r="AK6" s="13" t="str">
        <f t="shared" si="4"/>
        <v>M</v>
      </c>
      <c r="AL6" s="13" t="str">
        <f t="shared" si="4"/>
        <v>T</v>
      </c>
      <c r="AM6" s="13" t="str">
        <f t="shared" si="4"/>
        <v>W</v>
      </c>
      <c r="AN6" s="13" t="str">
        <f t="shared" si="4"/>
        <v>T</v>
      </c>
      <c r="AO6" s="13" t="str">
        <f t="shared" si="4"/>
        <v>F</v>
      </c>
      <c r="AP6" s="13" t="str">
        <f t="shared" si="4"/>
        <v>S</v>
      </c>
      <c r="AQ6" s="13" t="str">
        <f t="shared" si="4"/>
        <v>S</v>
      </c>
      <c r="AR6" s="13" t="str">
        <f t="shared" si="4"/>
        <v>M</v>
      </c>
      <c r="AS6" s="13" t="str">
        <f t="shared" ref="AS6:BL6" si="5">LEFT(TEXT(AS5,"ddd"),1)</f>
        <v>T</v>
      </c>
      <c r="AT6" s="13" t="str">
        <f t="shared" si="5"/>
        <v>W</v>
      </c>
      <c r="AU6" s="13" t="str">
        <f t="shared" si="5"/>
        <v>T</v>
      </c>
      <c r="AV6" s="13" t="str">
        <f t="shared" si="5"/>
        <v>F</v>
      </c>
      <c r="AW6" s="13" t="str">
        <f t="shared" si="5"/>
        <v>S</v>
      </c>
      <c r="AX6" s="13" t="str">
        <f t="shared" si="5"/>
        <v>S</v>
      </c>
      <c r="AY6" s="13" t="str">
        <f t="shared" si="5"/>
        <v>M</v>
      </c>
      <c r="AZ6" s="13" t="str">
        <f t="shared" si="5"/>
        <v>T</v>
      </c>
      <c r="BA6" s="13" t="str">
        <f t="shared" si="5"/>
        <v>W</v>
      </c>
      <c r="BB6" s="13" t="str">
        <f t="shared" si="5"/>
        <v>T</v>
      </c>
      <c r="BC6" s="13" t="str">
        <f t="shared" si="5"/>
        <v>F</v>
      </c>
      <c r="BD6" s="13" t="str">
        <f t="shared" si="5"/>
        <v>S</v>
      </c>
      <c r="BE6" s="13" t="str">
        <f t="shared" si="5"/>
        <v>S</v>
      </c>
      <c r="BF6" s="13" t="str">
        <f t="shared" si="5"/>
        <v>M</v>
      </c>
      <c r="BG6" s="13" t="str">
        <f t="shared" si="5"/>
        <v>T</v>
      </c>
      <c r="BH6" s="13" t="str">
        <f t="shared" si="5"/>
        <v>W</v>
      </c>
      <c r="BI6" s="13" t="str">
        <f t="shared" si="5"/>
        <v>T</v>
      </c>
      <c r="BJ6" s="13" t="str">
        <f t="shared" si="5"/>
        <v>F</v>
      </c>
      <c r="BK6" s="13" t="str">
        <f t="shared" si="5"/>
        <v>S</v>
      </c>
      <c r="BL6" s="13" t="str">
        <f t="shared" si="5"/>
        <v>S</v>
      </c>
    </row>
    <row r="7" spans="1:64" ht="30" hidden="1" customHeight="1" thickBot="1">
      <c r="A7" s="46" t="s">
        <v>18</v>
      </c>
      <c r="C7" s="49"/>
      <c r="E7"/>
      <c r="H7" t="str">
        <f ca="1">IF(OR(ISBLANK(task_start),ISBLANK(task_end)),"",task_end-task_start+1)</f>
        <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row>
    <row r="8" spans="1:64" s="3" customFormat="1" ht="30" customHeight="1" thickBot="1">
      <c r="A8" s="47" t="s">
        <v>19</v>
      </c>
      <c r="B8" s="18" t="s">
        <v>20</v>
      </c>
      <c r="C8" s="54"/>
      <c r="D8" s="19"/>
      <c r="E8" s="20"/>
      <c r="F8" s="21"/>
      <c r="G8" s="17"/>
      <c r="H8" s="17" t="str">
        <f t="shared" ref="H8:H64" ca="1" si="6">IF(OR(ISBLANK(task_start),ISBLANK(task_end)),"",task_end-task_start+1)</f>
        <v/>
      </c>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row>
    <row r="9" spans="1:64" s="3" customFormat="1" ht="30" customHeight="1" thickBot="1">
      <c r="A9" s="47" t="s">
        <v>21</v>
      </c>
      <c r="B9" s="63" t="s">
        <v>22</v>
      </c>
      <c r="C9" s="64" t="s">
        <v>23</v>
      </c>
      <c r="D9" s="65">
        <v>1</v>
      </c>
      <c r="E9" s="66">
        <f>Project_Start</f>
        <v>44935</v>
      </c>
      <c r="F9" s="66">
        <f>E9+9</f>
        <v>44944</v>
      </c>
      <c r="G9" s="17"/>
      <c r="H9" s="17">
        <f t="shared" ca="1" si="6"/>
        <v>10</v>
      </c>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row>
    <row r="10" spans="1:64" s="3" customFormat="1" ht="30" customHeight="1" thickBot="1">
      <c r="A10" s="47" t="s">
        <v>24</v>
      </c>
      <c r="B10" s="63" t="s">
        <v>25</v>
      </c>
      <c r="C10" s="64" t="s">
        <v>23</v>
      </c>
      <c r="D10" s="65">
        <v>1</v>
      </c>
      <c r="E10" s="66">
        <f>F9</f>
        <v>44944</v>
      </c>
      <c r="F10" s="66">
        <f>E10+28</f>
        <v>44972</v>
      </c>
      <c r="G10" s="17"/>
      <c r="H10" s="17">
        <f t="shared" ca="1" si="6"/>
        <v>29</v>
      </c>
      <c r="I10" s="32"/>
      <c r="J10" s="32"/>
      <c r="K10" s="32"/>
      <c r="L10" s="32"/>
      <c r="M10" s="32"/>
      <c r="N10" s="32"/>
      <c r="O10" s="32"/>
      <c r="P10" s="32"/>
      <c r="Q10" s="32"/>
      <c r="R10" s="32"/>
      <c r="S10" s="32"/>
      <c r="T10" s="32"/>
      <c r="U10" s="33"/>
      <c r="V10" s="33"/>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row>
    <row r="11" spans="1:64" s="3" customFormat="1" ht="30" customHeight="1" thickBot="1">
      <c r="A11" s="46"/>
      <c r="B11" s="63" t="s">
        <v>26</v>
      </c>
      <c r="C11" s="64" t="s">
        <v>23</v>
      </c>
      <c r="D11" s="65">
        <v>1</v>
      </c>
      <c r="E11" s="66">
        <f>E10</f>
        <v>44944</v>
      </c>
      <c r="F11" s="66">
        <f>E11+21</f>
        <v>44965</v>
      </c>
      <c r="G11" s="17"/>
      <c r="H11" s="17">
        <f t="shared" ca="1" si="6"/>
        <v>22</v>
      </c>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row>
    <row r="12" spans="1:64" s="3" customFormat="1" ht="30" customHeight="1" thickBot="1">
      <c r="A12" s="46"/>
      <c r="B12" s="63" t="s">
        <v>27</v>
      </c>
      <c r="C12" s="64" t="s">
        <v>23</v>
      </c>
      <c r="D12" s="65">
        <v>1</v>
      </c>
      <c r="E12" s="66">
        <f>F11</f>
        <v>44965</v>
      </c>
      <c r="F12" s="66">
        <f>E12+7</f>
        <v>44972</v>
      </c>
      <c r="G12" s="17"/>
      <c r="H12" s="17">
        <f t="shared" ca="1" si="6"/>
        <v>8</v>
      </c>
      <c r="I12" s="32"/>
      <c r="J12" s="32"/>
      <c r="K12" s="32"/>
      <c r="L12" s="32"/>
      <c r="M12" s="32"/>
      <c r="N12" s="32"/>
      <c r="O12" s="32"/>
      <c r="P12" s="32"/>
      <c r="Q12" s="32"/>
      <c r="R12" s="32"/>
      <c r="S12" s="32"/>
      <c r="T12" s="32"/>
      <c r="U12" s="32"/>
      <c r="V12" s="32"/>
      <c r="W12" s="32"/>
      <c r="X12" s="32"/>
      <c r="Y12" s="33"/>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row>
    <row r="13" spans="1:64" s="3" customFormat="1" ht="30" customHeight="1" thickBot="1">
      <c r="A13" s="46"/>
      <c r="B13" s="63" t="s">
        <v>28</v>
      </c>
      <c r="C13" s="64" t="s">
        <v>23</v>
      </c>
      <c r="D13" s="65">
        <v>1</v>
      </c>
      <c r="E13" s="66">
        <f>E10+28</f>
        <v>44972</v>
      </c>
      <c r="F13" s="66">
        <f>E13+7</f>
        <v>44979</v>
      </c>
      <c r="G13" s="17"/>
      <c r="H13" s="17">
        <f t="shared" ca="1" si="6"/>
        <v>8</v>
      </c>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row>
    <row r="14" spans="1:64" s="3" customFormat="1" ht="30" customHeight="1" thickBot="1">
      <c r="A14" s="47" t="s">
        <v>29</v>
      </c>
      <c r="B14" s="22" t="s">
        <v>30</v>
      </c>
      <c r="C14" s="55"/>
      <c r="D14" s="23"/>
      <c r="E14" s="24"/>
      <c r="F14" s="25"/>
      <c r="G14" s="17"/>
      <c r="H14" s="17" t="str">
        <f t="shared" ca="1" si="6"/>
        <v/>
      </c>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row>
    <row r="15" spans="1:64" s="3" customFormat="1" ht="30" customHeight="1" thickBot="1">
      <c r="A15" s="47"/>
      <c r="B15" s="67" t="s">
        <v>31</v>
      </c>
      <c r="C15" s="68" t="s">
        <v>23</v>
      </c>
      <c r="D15" s="69">
        <v>1</v>
      </c>
      <c r="E15" s="70">
        <f>F13</f>
        <v>44979</v>
      </c>
      <c r="F15" s="70">
        <f>E15+35</f>
        <v>45014</v>
      </c>
      <c r="G15" s="17"/>
      <c r="H15" s="17">
        <f t="shared" ca="1" si="6"/>
        <v>36</v>
      </c>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row>
    <row r="16" spans="1:64" s="3" customFormat="1" ht="30" customHeight="1" thickBot="1">
      <c r="A16" s="46"/>
      <c r="B16" s="67" t="s">
        <v>32</v>
      </c>
      <c r="C16" s="68" t="s">
        <v>23</v>
      </c>
      <c r="D16" s="69">
        <v>1</v>
      </c>
      <c r="E16" s="70">
        <f>F13</f>
        <v>44979</v>
      </c>
      <c r="F16" s="70">
        <f>E15+50</f>
        <v>45029</v>
      </c>
      <c r="G16" s="17"/>
      <c r="H16" s="17"/>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row>
    <row r="17" spans="1:64" s="3" customFormat="1" ht="30" customHeight="1" thickBot="1">
      <c r="A17" s="46"/>
      <c r="B17" s="67" t="s">
        <v>33</v>
      </c>
      <c r="C17" s="68" t="s">
        <v>23</v>
      </c>
      <c r="D17" s="69">
        <v>1</v>
      </c>
      <c r="E17" s="70">
        <f>F16</f>
        <v>45029</v>
      </c>
      <c r="F17" s="70">
        <f>F16</f>
        <v>45029</v>
      </c>
      <c r="G17" s="17"/>
      <c r="H17" s="17"/>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row>
    <row r="18" spans="1:64" s="3" customFormat="1" ht="30" customHeight="1" thickBot="1">
      <c r="A18" s="46"/>
      <c r="B18" s="67" t="s">
        <v>34</v>
      </c>
      <c r="C18" s="68" t="s">
        <v>23</v>
      </c>
      <c r="D18" s="69">
        <v>1</v>
      </c>
      <c r="E18" s="70">
        <f>F15</f>
        <v>45014</v>
      </c>
      <c r="F18" s="70">
        <f>F17+21</f>
        <v>45050</v>
      </c>
      <c r="G18" s="17"/>
      <c r="H18" s="17">
        <f t="shared" ca="1" si="6"/>
        <v>37</v>
      </c>
      <c r="I18" s="32"/>
      <c r="J18" s="32"/>
      <c r="K18" s="32"/>
      <c r="L18" s="32"/>
      <c r="M18" s="32"/>
      <c r="N18" s="32"/>
      <c r="O18" s="32"/>
      <c r="P18" s="32"/>
      <c r="Q18" s="32"/>
      <c r="R18" s="32"/>
      <c r="S18" s="32"/>
      <c r="T18" s="32"/>
      <c r="U18" s="33"/>
      <c r="V18" s="33"/>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row>
    <row r="19" spans="1:64" s="3" customFormat="1" ht="30" customHeight="1" thickBot="1">
      <c r="A19" s="46"/>
      <c r="B19" s="67" t="s">
        <v>35</v>
      </c>
      <c r="C19" s="68" t="s">
        <v>23</v>
      </c>
      <c r="D19" s="69">
        <v>1</v>
      </c>
      <c r="E19" s="70">
        <f>F16</f>
        <v>45029</v>
      </c>
      <c r="F19" s="70">
        <f>F18</f>
        <v>45050</v>
      </c>
      <c r="G19" s="17"/>
      <c r="H19" s="17">
        <f t="shared" ca="1" si="6"/>
        <v>22</v>
      </c>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row>
    <row r="20" spans="1:64" s="3" customFormat="1" ht="30" customHeight="1" thickBot="1">
      <c r="A20" s="46" t="s">
        <v>36</v>
      </c>
      <c r="B20" s="67" t="s">
        <v>37</v>
      </c>
      <c r="C20" s="68" t="s">
        <v>23</v>
      </c>
      <c r="D20" s="69">
        <v>1</v>
      </c>
      <c r="E20" s="70">
        <f>E19</f>
        <v>45029</v>
      </c>
      <c r="F20" s="70">
        <f>F19</f>
        <v>45050</v>
      </c>
      <c r="G20" s="17"/>
      <c r="H20" s="17">
        <f t="shared" ca="1" si="6"/>
        <v>22</v>
      </c>
      <c r="I20" s="32"/>
      <c r="J20" s="32"/>
      <c r="K20" s="32"/>
      <c r="L20" s="32"/>
      <c r="M20" s="32"/>
      <c r="N20" s="32"/>
      <c r="O20" s="32"/>
      <c r="P20" s="32"/>
      <c r="Q20" s="32"/>
      <c r="R20" s="32"/>
      <c r="S20" s="32"/>
      <c r="T20" s="32"/>
      <c r="U20" s="32"/>
      <c r="V20" s="32"/>
      <c r="W20" s="32"/>
      <c r="X20" s="32"/>
      <c r="Y20" s="33"/>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row>
    <row r="21" spans="1:64" s="3" customFormat="1" ht="30" customHeight="1" thickBot="1">
      <c r="A21" s="46"/>
      <c r="B21" s="67" t="s">
        <v>38</v>
      </c>
      <c r="C21" s="68" t="s">
        <v>23</v>
      </c>
      <c r="D21" s="69">
        <v>1</v>
      </c>
      <c r="E21" s="70">
        <f>E13+78</f>
        <v>45050</v>
      </c>
      <c r="F21" s="70">
        <f>E21</f>
        <v>45050</v>
      </c>
      <c r="G21" s="17"/>
      <c r="H21" s="17">
        <f t="shared" ca="1" si="6"/>
        <v>1</v>
      </c>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row>
    <row r="22" spans="1:64" s="3" customFormat="1" ht="30" customHeight="1" thickBot="1">
      <c r="A22" s="46"/>
      <c r="B22" s="71" t="s">
        <v>39</v>
      </c>
      <c r="C22" s="72"/>
      <c r="D22" s="73"/>
      <c r="E22" s="74"/>
      <c r="F22" s="74"/>
      <c r="G22" s="17"/>
      <c r="H22" s="17" t="str">
        <f t="shared" ca="1" si="6"/>
        <v/>
      </c>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row>
    <row r="23" spans="1:64" s="3" customFormat="1" ht="30" customHeight="1" thickBot="1">
      <c r="A23" s="46"/>
      <c r="B23" s="75" t="s">
        <v>40</v>
      </c>
      <c r="C23" s="76" t="s">
        <v>41</v>
      </c>
      <c r="D23" s="77">
        <v>1</v>
      </c>
      <c r="E23" s="78">
        <v>45159</v>
      </c>
      <c r="F23" s="78">
        <v>45180</v>
      </c>
      <c r="G23" s="17"/>
      <c r="H23" s="17">
        <f t="shared" ca="1" si="6"/>
        <v>22</v>
      </c>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row>
    <row r="24" spans="1:64" s="3" customFormat="1" ht="30" customHeight="1" thickBot="1">
      <c r="A24" s="46"/>
      <c r="B24" s="75" t="s">
        <v>42</v>
      </c>
      <c r="C24" s="76" t="s">
        <v>41</v>
      </c>
      <c r="D24" s="77">
        <v>1</v>
      </c>
      <c r="E24" s="78">
        <v>45159</v>
      </c>
      <c r="F24" s="78">
        <v>45166</v>
      </c>
      <c r="G24" s="17"/>
      <c r="H24" s="17">
        <f t="shared" ca="1" si="6"/>
        <v>8</v>
      </c>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row>
    <row r="25" spans="1:64" s="3" customFormat="1" ht="30" customHeight="1" thickBot="1">
      <c r="A25" s="46"/>
      <c r="B25" s="75" t="s">
        <v>43</v>
      </c>
      <c r="C25" s="76" t="s">
        <v>44</v>
      </c>
      <c r="D25" s="77">
        <v>1</v>
      </c>
      <c r="E25" s="78">
        <v>45159</v>
      </c>
      <c r="F25" s="78">
        <v>45170</v>
      </c>
      <c r="G25" s="17"/>
      <c r="H25" s="17">
        <f t="shared" ca="1" si="6"/>
        <v>12</v>
      </c>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row>
    <row r="26" spans="1:64" s="3" customFormat="1" ht="30" customHeight="1" thickBot="1">
      <c r="A26" s="46"/>
      <c r="B26" s="75" t="s">
        <v>45</v>
      </c>
      <c r="C26" s="76" t="s">
        <v>46</v>
      </c>
      <c r="D26" s="77">
        <v>1</v>
      </c>
      <c r="E26" s="78">
        <v>45173</v>
      </c>
      <c r="F26" s="78">
        <v>45180</v>
      </c>
      <c r="G26" s="17"/>
      <c r="H26" s="17"/>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row>
    <row r="27" spans="1:64" s="3" customFormat="1" ht="30" customHeight="1" thickBot="1">
      <c r="A27" s="46"/>
      <c r="B27" s="75" t="s">
        <v>47</v>
      </c>
      <c r="C27" s="76" t="s">
        <v>48</v>
      </c>
      <c r="D27" s="77">
        <v>1</v>
      </c>
      <c r="E27" s="78">
        <v>45173</v>
      </c>
      <c r="F27" s="78">
        <v>45180</v>
      </c>
      <c r="G27" s="17"/>
      <c r="H27" s="17"/>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row>
    <row r="28" spans="1:64" s="3" customFormat="1" ht="30" customHeight="1" thickBot="1">
      <c r="A28" s="46" t="s">
        <v>36</v>
      </c>
      <c r="B28" s="75" t="s">
        <v>49</v>
      </c>
      <c r="C28" s="76" t="s">
        <v>44</v>
      </c>
      <c r="D28" s="77">
        <v>1</v>
      </c>
      <c r="E28" s="78">
        <v>45159</v>
      </c>
      <c r="F28" s="78">
        <v>45180</v>
      </c>
      <c r="G28" s="17"/>
      <c r="H28" s="17">
        <f t="shared" ca="1" si="6"/>
        <v>22</v>
      </c>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row>
    <row r="29" spans="1:64" s="3" customFormat="1" ht="30" customHeight="1" thickBot="1">
      <c r="A29" s="46"/>
      <c r="B29" s="75" t="s">
        <v>50</v>
      </c>
      <c r="C29" s="76" t="s">
        <v>41</v>
      </c>
      <c r="D29" s="77">
        <v>1</v>
      </c>
      <c r="E29" s="78">
        <v>45170</v>
      </c>
      <c r="F29" s="78">
        <v>45170</v>
      </c>
      <c r="G29" s="17"/>
      <c r="H29" s="17"/>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row>
    <row r="30" spans="1:64" s="3" customFormat="1" ht="30" customHeight="1" thickBot="1">
      <c r="A30" s="46"/>
      <c r="B30" s="75" t="s">
        <v>51</v>
      </c>
      <c r="C30" s="76" t="s">
        <v>52</v>
      </c>
      <c r="D30" s="77">
        <v>1</v>
      </c>
      <c r="E30" s="78">
        <v>45173</v>
      </c>
      <c r="F30" s="78">
        <v>45180</v>
      </c>
      <c r="G30" s="17"/>
      <c r="H30" s="17"/>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row>
    <row r="31" spans="1:64" s="3" customFormat="1" ht="30" customHeight="1" thickBot="1">
      <c r="A31" s="46"/>
      <c r="B31" s="75" t="s">
        <v>53</v>
      </c>
      <c r="C31" s="76" t="s">
        <v>44</v>
      </c>
      <c r="D31" s="77">
        <v>1</v>
      </c>
      <c r="E31" s="78">
        <v>45173</v>
      </c>
      <c r="F31" s="78">
        <v>45180</v>
      </c>
      <c r="G31" s="17"/>
      <c r="H31" s="17"/>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row>
    <row r="32" spans="1:64" s="3" customFormat="1" ht="30" customHeight="1" thickBot="1">
      <c r="A32" s="46"/>
      <c r="B32" s="75" t="s">
        <v>54</v>
      </c>
      <c r="C32" s="76" t="s">
        <v>44</v>
      </c>
      <c r="D32" s="77">
        <v>1</v>
      </c>
      <c r="E32" s="78">
        <v>45173</v>
      </c>
      <c r="F32" s="78">
        <v>45180</v>
      </c>
      <c r="G32" s="17"/>
      <c r="H32" s="17"/>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row>
    <row r="33" spans="1:64" s="3" customFormat="1" ht="30" customHeight="1" thickBot="1">
      <c r="A33" s="46"/>
      <c r="B33" s="75" t="s">
        <v>55</v>
      </c>
      <c r="C33" s="76" t="s">
        <v>56</v>
      </c>
      <c r="D33" s="77">
        <v>1</v>
      </c>
      <c r="E33" s="78">
        <v>45187</v>
      </c>
      <c r="F33" s="78">
        <v>45194</v>
      </c>
      <c r="G33" s="17"/>
      <c r="H33" s="17"/>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row>
    <row r="34" spans="1:64" s="3" customFormat="1" ht="30" customHeight="1" thickBot="1">
      <c r="A34" s="46"/>
      <c r="B34" s="75" t="s">
        <v>57</v>
      </c>
      <c r="C34" s="76" t="s">
        <v>58</v>
      </c>
      <c r="D34" s="77">
        <v>1</v>
      </c>
      <c r="E34" s="78">
        <v>45180</v>
      </c>
      <c r="F34" s="78">
        <v>45187</v>
      </c>
      <c r="G34" s="17"/>
      <c r="H34" s="17"/>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row>
    <row r="35" spans="1:64" s="3" customFormat="1" ht="30" customHeight="1" thickBot="1">
      <c r="A35" s="46"/>
      <c r="B35" s="75" t="s">
        <v>59</v>
      </c>
      <c r="C35" s="76" t="s">
        <v>60</v>
      </c>
      <c r="D35" s="77">
        <v>1</v>
      </c>
      <c r="E35" s="78">
        <v>45180</v>
      </c>
      <c r="F35" s="78">
        <v>45187</v>
      </c>
      <c r="G35" s="17"/>
      <c r="H35" s="17"/>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row>
    <row r="36" spans="1:64" s="3" customFormat="1" ht="30" customHeight="1" thickBot="1">
      <c r="A36" s="46"/>
      <c r="B36" s="75" t="s">
        <v>61</v>
      </c>
      <c r="C36" s="76" t="s">
        <v>44</v>
      </c>
      <c r="D36" s="77">
        <v>1</v>
      </c>
      <c r="E36" s="78">
        <v>45173</v>
      </c>
      <c r="F36" s="78">
        <v>45180</v>
      </c>
      <c r="G36" s="17"/>
      <c r="H36" s="17"/>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row>
    <row r="37" spans="1:64" s="3" customFormat="1" ht="30" customHeight="1" thickBot="1">
      <c r="A37" s="46"/>
      <c r="B37" s="75" t="s">
        <v>62</v>
      </c>
      <c r="C37" s="76" t="s">
        <v>63</v>
      </c>
      <c r="D37" s="77">
        <v>1</v>
      </c>
      <c r="E37" s="78">
        <v>45180</v>
      </c>
      <c r="F37" s="78">
        <v>45187</v>
      </c>
      <c r="G37" s="17"/>
      <c r="H37" s="17"/>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row>
    <row r="38" spans="1:64" s="3" customFormat="1" ht="30" customHeight="1" thickBot="1">
      <c r="A38" s="46"/>
      <c r="B38" s="75" t="s">
        <v>64</v>
      </c>
      <c r="C38" s="76" t="s">
        <v>65</v>
      </c>
      <c r="D38" s="77">
        <v>1</v>
      </c>
      <c r="E38" s="78">
        <v>45180</v>
      </c>
      <c r="F38" s="78">
        <v>45187</v>
      </c>
      <c r="G38" s="17"/>
      <c r="H38" s="17"/>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row>
    <row r="39" spans="1:64" s="3" customFormat="1" ht="30" customHeight="1" thickBot="1">
      <c r="A39" s="46"/>
      <c r="B39" s="87" t="s">
        <v>66</v>
      </c>
      <c r="C39" s="76" t="s">
        <v>60</v>
      </c>
      <c r="D39" s="77">
        <v>1</v>
      </c>
      <c r="E39" s="78">
        <v>45187</v>
      </c>
      <c r="F39" s="78">
        <v>45194</v>
      </c>
      <c r="G39" s="17"/>
      <c r="H39" s="17"/>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row>
    <row r="40" spans="1:64" s="3" customFormat="1" ht="30" customHeight="1" thickBot="1">
      <c r="A40" s="46"/>
      <c r="B40" s="75" t="s">
        <v>67</v>
      </c>
      <c r="C40" s="76" t="s">
        <v>60</v>
      </c>
      <c r="D40" s="77">
        <v>1</v>
      </c>
      <c r="E40" s="78">
        <v>45194</v>
      </c>
      <c r="F40" s="78">
        <v>45201</v>
      </c>
      <c r="G40" s="17"/>
      <c r="H40" s="17"/>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row>
    <row r="41" spans="1:64" s="3" customFormat="1" ht="30" customHeight="1" thickBot="1">
      <c r="A41" s="46"/>
      <c r="B41" s="79" t="s">
        <v>68</v>
      </c>
      <c r="C41" s="80"/>
      <c r="D41" s="81"/>
      <c r="E41" s="82"/>
      <c r="F41" s="82"/>
      <c r="G41" s="17"/>
      <c r="H41" s="17" t="str">
        <f t="shared" ca="1" si="6"/>
        <v/>
      </c>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row>
    <row r="42" spans="1:64" s="3" customFormat="1" ht="30" customHeight="1" thickBot="1">
      <c r="A42" s="46"/>
      <c r="B42" s="83" t="s">
        <v>69</v>
      </c>
      <c r="C42" s="84" t="s">
        <v>70</v>
      </c>
      <c r="D42" s="85">
        <v>1</v>
      </c>
      <c r="E42" s="86">
        <v>45187</v>
      </c>
      <c r="F42" s="86">
        <v>45194</v>
      </c>
      <c r="G42" s="17"/>
      <c r="H42" s="17">
        <f t="shared" ca="1" si="6"/>
        <v>8</v>
      </c>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row>
    <row r="43" spans="1:64" s="3" customFormat="1" ht="30" customHeight="1" thickBot="1">
      <c r="A43" s="46"/>
      <c r="B43" s="83" t="s">
        <v>71</v>
      </c>
      <c r="C43" s="84" t="s">
        <v>72</v>
      </c>
      <c r="D43" s="85">
        <v>1</v>
      </c>
      <c r="E43" s="86">
        <v>45187</v>
      </c>
      <c r="F43" s="86">
        <v>45194</v>
      </c>
      <c r="G43" s="17"/>
      <c r="H43" s="17">
        <f t="shared" ca="1" si="6"/>
        <v>8</v>
      </c>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row>
    <row r="44" spans="1:64" s="3" customFormat="1" ht="30" customHeight="1" thickBot="1">
      <c r="A44" s="46"/>
      <c r="B44" s="83" t="s">
        <v>73</v>
      </c>
      <c r="C44" s="84" t="s">
        <v>44</v>
      </c>
      <c r="D44" s="85">
        <v>0.75</v>
      </c>
      <c r="E44" s="86">
        <v>45187</v>
      </c>
      <c r="F44" s="86">
        <v>45194</v>
      </c>
      <c r="G44" s="17"/>
      <c r="H44" s="17">
        <f t="shared" ca="1" si="6"/>
        <v>8</v>
      </c>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row>
    <row r="45" spans="1:64" s="3" customFormat="1" ht="30" customHeight="1" thickBot="1">
      <c r="A45" s="46" t="s">
        <v>74</v>
      </c>
      <c r="B45" s="83" t="s">
        <v>75</v>
      </c>
      <c r="C45" s="84" t="s">
        <v>52</v>
      </c>
      <c r="D45" s="85">
        <v>0.3</v>
      </c>
      <c r="E45" s="86">
        <v>45187</v>
      </c>
      <c r="F45" s="86">
        <v>45194</v>
      </c>
      <c r="G45" s="17"/>
      <c r="H45" s="17">
        <f t="shared" ca="1" si="6"/>
        <v>8</v>
      </c>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row>
    <row r="46" spans="1:64" s="3" customFormat="1" ht="30" customHeight="1" thickBot="1">
      <c r="A46" s="46"/>
      <c r="B46" s="83" t="s">
        <v>76</v>
      </c>
      <c r="C46" s="84" t="s">
        <v>77</v>
      </c>
      <c r="D46" s="85">
        <v>0</v>
      </c>
      <c r="E46" s="86">
        <v>45194</v>
      </c>
      <c r="F46" s="86">
        <v>45201</v>
      </c>
      <c r="G46" s="17"/>
      <c r="H46" s="17"/>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row>
    <row r="47" spans="1:64" s="3" customFormat="1" ht="30" customHeight="1" thickBot="1">
      <c r="A47" s="46"/>
      <c r="B47" s="83" t="s">
        <v>78</v>
      </c>
      <c r="C47" s="84" t="s">
        <v>77</v>
      </c>
      <c r="D47" s="85">
        <v>0.75</v>
      </c>
      <c r="E47" s="86">
        <v>45194</v>
      </c>
      <c r="F47" s="86">
        <v>45201</v>
      </c>
      <c r="G47" s="17"/>
      <c r="H47" s="17"/>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row>
    <row r="48" spans="1:64" s="3" customFormat="1" ht="30" customHeight="1" thickBot="1">
      <c r="A48" s="46"/>
      <c r="B48" s="83" t="s">
        <v>79</v>
      </c>
      <c r="C48" s="84" t="s">
        <v>77</v>
      </c>
      <c r="D48" s="85">
        <v>1</v>
      </c>
      <c r="E48" s="86">
        <v>45194</v>
      </c>
      <c r="F48" s="86">
        <v>45201</v>
      </c>
      <c r="G48" s="17"/>
      <c r="H48" s="17"/>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row>
    <row r="49" spans="1:64" s="3" customFormat="1" ht="30" customHeight="1" thickBot="1">
      <c r="A49" s="46"/>
      <c r="B49" s="83" t="s">
        <v>80</v>
      </c>
      <c r="C49" s="89" t="s">
        <v>81</v>
      </c>
      <c r="D49" s="85">
        <v>0.75</v>
      </c>
      <c r="E49" s="86">
        <v>45194</v>
      </c>
      <c r="F49" s="86">
        <v>45201</v>
      </c>
      <c r="G49" s="17"/>
      <c r="H49" s="17"/>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row>
    <row r="50" spans="1:64" s="3" customFormat="1" ht="30" customHeight="1" thickBot="1">
      <c r="A50" s="46"/>
      <c r="B50" s="83" t="s">
        <v>82</v>
      </c>
      <c r="C50" s="84" t="s">
        <v>83</v>
      </c>
      <c r="D50" s="85">
        <v>0.1</v>
      </c>
      <c r="E50" s="86">
        <v>45229</v>
      </c>
      <c r="F50" s="86">
        <v>45238</v>
      </c>
      <c r="G50" s="17"/>
      <c r="H50" s="17"/>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row>
    <row r="51" spans="1:64" s="3" customFormat="1" ht="30" customHeight="1" thickBot="1">
      <c r="A51" s="46"/>
      <c r="B51" s="88" t="s">
        <v>84</v>
      </c>
      <c r="C51" s="84" t="s">
        <v>60</v>
      </c>
      <c r="D51" s="85">
        <v>0</v>
      </c>
      <c r="E51" s="86">
        <v>45229</v>
      </c>
      <c r="F51" s="86">
        <v>45238</v>
      </c>
      <c r="G51" s="17"/>
      <c r="H51" s="17"/>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row>
    <row r="52" spans="1:64" s="3" customFormat="1" ht="30" customHeight="1" thickBot="1">
      <c r="A52" s="46"/>
      <c r="B52" s="83" t="s">
        <v>85</v>
      </c>
      <c r="C52" s="84" t="s">
        <v>83</v>
      </c>
      <c r="D52" s="85">
        <v>0</v>
      </c>
      <c r="E52" s="86">
        <v>45208</v>
      </c>
      <c r="F52" s="86">
        <v>45215</v>
      </c>
      <c r="G52" s="17"/>
      <c r="H52" s="17"/>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row>
    <row r="53" spans="1:64" s="3" customFormat="1" ht="30" customHeight="1" thickBot="1">
      <c r="A53" s="46"/>
      <c r="B53" s="83" t="s">
        <v>86</v>
      </c>
      <c r="C53" s="84" t="s">
        <v>60</v>
      </c>
      <c r="D53" s="85">
        <v>0</v>
      </c>
      <c r="E53" s="86">
        <v>45238</v>
      </c>
      <c r="F53" s="86">
        <v>45245</v>
      </c>
      <c r="G53" s="17"/>
      <c r="H53" s="17"/>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row>
    <row r="54" spans="1:64" s="3" customFormat="1" ht="30" customHeight="1" thickBot="1">
      <c r="A54" s="46"/>
      <c r="B54" s="83" t="s">
        <v>87</v>
      </c>
      <c r="C54" s="84" t="s">
        <v>60</v>
      </c>
      <c r="D54" s="85">
        <v>0.75</v>
      </c>
      <c r="E54" s="86">
        <v>45201</v>
      </c>
      <c r="F54" s="86">
        <v>45215</v>
      </c>
      <c r="G54" s="17"/>
      <c r="H54" s="17"/>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row>
    <row r="55" spans="1:64" s="3" customFormat="1" ht="30" customHeight="1" thickBot="1">
      <c r="A55" s="46"/>
      <c r="B55" s="83" t="s">
        <v>88</v>
      </c>
      <c r="C55" s="84" t="s">
        <v>41</v>
      </c>
      <c r="D55" s="85">
        <v>1</v>
      </c>
      <c r="E55" s="86">
        <v>45176</v>
      </c>
      <c r="F55" s="86">
        <v>45176</v>
      </c>
      <c r="G55" s="17"/>
      <c r="H55" s="17"/>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row>
    <row r="56" spans="1:64" s="3" customFormat="1" ht="30" customHeight="1" thickBot="1">
      <c r="A56" s="46"/>
      <c r="B56" s="83" t="s">
        <v>89</v>
      </c>
      <c r="C56" s="84" t="s">
        <v>44</v>
      </c>
      <c r="D56" s="85">
        <v>0.3</v>
      </c>
      <c r="E56" s="86"/>
      <c r="F56" s="86"/>
      <c r="G56" s="17"/>
      <c r="H56" s="17"/>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row>
    <row r="57" spans="1:64" s="3" customFormat="1" ht="30" customHeight="1" thickBot="1">
      <c r="A57" s="46"/>
      <c r="B57" s="83" t="s">
        <v>90</v>
      </c>
      <c r="C57" s="84" t="s">
        <v>60</v>
      </c>
      <c r="D57" s="85">
        <v>0</v>
      </c>
      <c r="E57" s="86">
        <v>45238</v>
      </c>
      <c r="F57" s="86">
        <v>45245</v>
      </c>
      <c r="G57" s="17"/>
      <c r="H57" s="17"/>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row>
    <row r="58" spans="1:64" s="3" customFormat="1" ht="30" customHeight="1" thickBot="1">
      <c r="A58" s="46"/>
      <c r="B58" s="83" t="s">
        <v>91</v>
      </c>
      <c r="C58" s="84" t="s">
        <v>41</v>
      </c>
      <c r="D58" s="85">
        <v>1</v>
      </c>
      <c r="E58" s="86">
        <v>45238</v>
      </c>
      <c r="F58" s="86">
        <v>45238</v>
      </c>
      <c r="G58" s="17"/>
      <c r="H58" s="17"/>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row>
    <row r="59" spans="1:64" s="3" customFormat="1" ht="30" customHeight="1" thickBot="1">
      <c r="A59" s="46"/>
      <c r="B59" s="83" t="s">
        <v>92</v>
      </c>
      <c r="C59" s="84" t="s">
        <v>41</v>
      </c>
      <c r="D59" s="85">
        <v>0</v>
      </c>
      <c r="E59" s="86">
        <v>45261</v>
      </c>
      <c r="F59" s="86">
        <v>45268</v>
      </c>
      <c r="G59" s="17"/>
      <c r="H59" s="17"/>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row>
    <row r="60" spans="1:64" s="3" customFormat="1" ht="30" customHeight="1" thickBot="1">
      <c r="A60" s="46"/>
      <c r="B60" s="83" t="s">
        <v>93</v>
      </c>
      <c r="C60" s="84" t="s">
        <v>41</v>
      </c>
      <c r="D60" s="85">
        <v>0</v>
      </c>
      <c r="E60" s="86"/>
      <c r="F60" s="86"/>
      <c r="G60" s="17"/>
      <c r="H60" s="17"/>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row>
    <row r="61" spans="1:64" s="3" customFormat="1" ht="30" customHeight="1" thickBot="1">
      <c r="A61" s="46"/>
      <c r="B61" s="83" t="s">
        <v>94</v>
      </c>
      <c r="C61" s="84" t="s">
        <v>41</v>
      </c>
      <c r="D61" s="85">
        <v>0</v>
      </c>
      <c r="E61" s="86">
        <v>45268</v>
      </c>
      <c r="F61" s="86">
        <v>45268</v>
      </c>
      <c r="G61" s="17"/>
      <c r="H61" s="17"/>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row>
    <row r="62" spans="1:64" s="3" customFormat="1" ht="30" customHeight="1" thickBot="1">
      <c r="A62" s="47" t="s">
        <v>95</v>
      </c>
      <c r="B62" s="83" t="s">
        <v>96</v>
      </c>
      <c r="C62" s="84" t="s">
        <v>41</v>
      </c>
      <c r="D62" s="85">
        <v>0</v>
      </c>
      <c r="E62" s="86" t="s">
        <v>97</v>
      </c>
      <c r="F62" s="86" t="s">
        <v>97</v>
      </c>
      <c r="G62" s="17"/>
      <c r="H62" s="17" t="e">
        <f t="shared" ca="1" si="6"/>
        <v>#VALUE!</v>
      </c>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row>
    <row r="63" spans="1:64" ht="30" customHeight="1" thickBot="1">
      <c r="B63" s="57"/>
      <c r="C63" s="56"/>
      <c r="D63" s="16"/>
      <c r="E63" s="53"/>
      <c r="F63" s="53"/>
      <c r="G63" s="17"/>
      <c r="H63" s="17" t="str">
        <f t="shared" ca="1" si="6"/>
        <v/>
      </c>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row>
    <row r="64" spans="1:64" ht="30" customHeight="1" thickBot="1">
      <c r="B64" s="26" t="s">
        <v>98</v>
      </c>
      <c r="C64" s="27"/>
      <c r="D64" s="28"/>
      <c r="E64" s="29"/>
      <c r="F64" s="30"/>
      <c r="G64" s="31"/>
      <c r="H64" s="31" t="str">
        <f t="shared" ca="1" si="6"/>
        <v/>
      </c>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row>
    <row r="65" spans="3:7" ht="30" customHeight="1">
      <c r="G65" s="6"/>
    </row>
    <row r="66" spans="3:7" ht="30" customHeight="1">
      <c r="C66" s="14"/>
      <c r="F66" s="48"/>
    </row>
    <row r="67" spans="3:7" ht="30" customHeight="1">
      <c r="C67" s="15"/>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8 D14 D63:D6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64">
    <cfRule type="expression" dxfId="2" priority="33">
      <formula>AND(TODAY()&gt;=I$5,TODAY()&lt;J$5)</formula>
    </cfRule>
  </conditionalFormatting>
  <conditionalFormatting sqref="I7:BL64">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D7:D8 D14 D63:D64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cols>
    <col min="1" max="1" width="87.140625" style="36" customWidth="1"/>
    <col min="2" max="16384" width="9.140625" style="2"/>
  </cols>
  <sheetData>
    <row r="1" spans="1:2" ht="46.5" customHeight="1"/>
    <row r="2" spans="1:2" s="38" customFormat="1" ht="15.75">
      <c r="A2" s="37" t="s">
        <v>99</v>
      </c>
      <c r="B2" s="37"/>
    </row>
    <row r="3" spans="1:2" s="42" customFormat="1" ht="27" customHeight="1">
      <c r="A3" s="61" t="s">
        <v>100</v>
      </c>
      <c r="B3" s="43"/>
    </row>
    <row r="4" spans="1:2" s="39" customFormat="1" ht="26.25">
      <c r="A4" s="40" t="s">
        <v>101</v>
      </c>
    </row>
    <row r="5" spans="1:2" ht="74.099999999999994" customHeight="1">
      <c r="A5" s="41" t="s">
        <v>102</v>
      </c>
    </row>
    <row r="6" spans="1:2" ht="26.25" customHeight="1">
      <c r="A6" s="40" t="s">
        <v>103</v>
      </c>
    </row>
    <row r="7" spans="1:2" s="36" customFormat="1" ht="204.95" customHeight="1">
      <c r="A7" s="45" t="s">
        <v>104</v>
      </c>
    </row>
    <row r="8" spans="1:2" s="39" customFormat="1" ht="26.25">
      <c r="A8" s="40" t="s">
        <v>105</v>
      </c>
    </row>
    <row r="9" spans="1:2" ht="60">
      <c r="A9" s="41" t="s">
        <v>106</v>
      </c>
    </row>
    <row r="10" spans="1:2" s="36" customFormat="1" ht="27.95" customHeight="1">
      <c r="A10" s="44" t="s">
        <v>107</v>
      </c>
    </row>
    <row r="11" spans="1:2" s="39" customFormat="1" ht="26.25">
      <c r="A11" s="40" t="s">
        <v>108</v>
      </c>
    </row>
    <row r="12" spans="1:2" ht="30">
      <c r="A12" s="41" t="s">
        <v>109</v>
      </c>
    </row>
    <row r="13" spans="1:2" s="36" customFormat="1" ht="27.95" customHeight="1">
      <c r="A13" s="44" t="s">
        <v>110</v>
      </c>
    </row>
    <row r="14" spans="1:2" s="39" customFormat="1" ht="26.25">
      <c r="A14" s="40" t="s">
        <v>111</v>
      </c>
    </row>
    <row r="15" spans="1:2" ht="75" customHeight="1">
      <c r="A15" s="41" t="s">
        <v>112</v>
      </c>
    </row>
    <row r="16" spans="1:2" ht="75">
      <c r="A16" s="41" t="s">
        <v>113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Cale Cozad</cp:lastModifiedBy>
  <cp:revision/>
  <dcterms:created xsi:type="dcterms:W3CDTF">2022-03-11T22:40:12Z</dcterms:created>
  <dcterms:modified xsi:type="dcterms:W3CDTF">2023-11-08T14:15:22Z</dcterms:modified>
  <cp:category/>
  <cp:contentStatus/>
</cp:coreProperties>
</file>